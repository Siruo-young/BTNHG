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35d0bfd8a5e621/BTNHG/"/>
    </mc:Choice>
  </mc:AlternateContent>
  <xr:revisionPtr revIDLastSave="3" documentId="8_{A9EE3624-4E88-4F25-930F-C5BAC1442842}" xr6:coauthVersionLast="47" xr6:coauthVersionMax="47" xr10:uidLastSave="{62620C07-1208-4B40-9504-7182A1E8F0A2}"/>
  <bookViews>
    <workbookView xWindow="-108" yWindow="-108" windowWidth="23256" windowHeight="12528" xr2:uid="{BD6E65FD-3E20-4DE7-A9B3-A515AFF0BC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F16" i="1"/>
  <c r="G16" i="1"/>
  <c r="H16" i="1"/>
  <c r="I16" i="1"/>
  <c r="B16" i="1"/>
  <c r="M16" i="1"/>
  <c r="L16" i="1"/>
  <c r="K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16" i="1" l="1"/>
</calcChain>
</file>

<file path=xl/sharedStrings.xml><?xml version="1.0" encoding="utf-8"?>
<sst xmlns="http://schemas.openxmlformats.org/spreadsheetml/2006/main" count="43" uniqueCount="37">
  <si>
    <t>walletexplorer.com</t>
  </si>
  <si>
    <t>bitinfocharts.com</t>
  </si>
  <si>
    <t>BitPay.com-old</t>
    <phoneticPr fontId="3" type="noConversion"/>
  </si>
  <si>
    <t>SilkRoad2Market</t>
    <phoneticPr fontId="3" type="noConversion"/>
  </si>
  <si>
    <t>BitcoinFog</t>
    <phoneticPr fontId="3" type="noConversion"/>
  </si>
  <si>
    <t>BitZino.com</t>
    <phoneticPr fontId="3" type="noConversion"/>
  </si>
  <si>
    <t>[00044e9b15]</t>
    <phoneticPr fontId="3" type="noConversion"/>
  </si>
  <si>
    <t>[2806363]</t>
    <phoneticPr fontId="3" type="noConversion"/>
  </si>
  <si>
    <t>[00003d9176]</t>
    <phoneticPr fontId="3" type="noConversion"/>
  </si>
  <si>
    <t>[2491032]</t>
    <phoneticPr fontId="3" type="noConversion"/>
  </si>
  <si>
    <t>LocalBitcoins.com-old</t>
    <phoneticPr fontId="3" type="noConversion"/>
  </si>
  <si>
    <t>AnxPro.com</t>
    <phoneticPr fontId="3" type="noConversion"/>
  </si>
  <si>
    <t>Vircurex.com</t>
    <phoneticPr fontId="3" type="noConversion"/>
  </si>
  <si>
    <t>Vircurex.com-2</t>
    <phoneticPr fontId="3" type="noConversion"/>
  </si>
  <si>
    <t>Cryptsy.com</t>
    <phoneticPr fontId="3" type="noConversion"/>
  </si>
  <si>
    <t>Cryptsy.com-old</t>
    <phoneticPr fontId="3" type="noConversion"/>
  </si>
  <si>
    <t>[00075a9691]</t>
    <phoneticPr fontId="3" type="noConversion"/>
  </si>
  <si>
    <t>[1175471]</t>
    <phoneticPr fontId="3" type="noConversion"/>
  </si>
  <si>
    <t>CoinJoinMess</t>
    <phoneticPr fontId="3" type="noConversion"/>
  </si>
  <si>
    <t>F2Pool</t>
    <phoneticPr fontId="3" type="noConversion"/>
  </si>
  <si>
    <t>Cex.io</t>
    <phoneticPr fontId="3" type="noConversion"/>
  </si>
  <si>
    <t>Cex.io-4</t>
    <phoneticPr fontId="3" type="noConversion"/>
  </si>
  <si>
    <t>Bitstamp.net-old</t>
    <phoneticPr fontId="3" type="noConversion"/>
  </si>
  <si>
    <t>Huobi.com</t>
    <phoneticPr fontId="3" type="noConversion"/>
  </si>
  <si>
    <t>other</t>
    <phoneticPr fontId="2" type="noConversion"/>
  </si>
  <si>
    <t>clusterID</t>
    <phoneticPr fontId="2" type="noConversion"/>
  </si>
  <si>
    <t>Mt.gox(1LNWw6yCxkUmkhArb2Nf2MPw6vG7u5WG7q)</t>
    <phoneticPr fontId="2" type="noConversion"/>
  </si>
  <si>
    <t>hgCount</t>
  </si>
  <si>
    <t>RecordCountInHgEdge</t>
    <phoneticPr fontId="2" type="noConversion"/>
  </si>
  <si>
    <t>address-coin</t>
    <phoneticPr fontId="2" type="noConversion"/>
  </si>
  <si>
    <t>edgeCount</t>
    <phoneticPr fontId="2" type="noConversion"/>
  </si>
  <si>
    <t>addressCount</t>
    <phoneticPr fontId="2" type="noConversion"/>
  </si>
  <si>
    <t>coinCount</t>
  </si>
  <si>
    <t>TxCount</t>
    <phoneticPr fontId="2" type="noConversion"/>
  </si>
  <si>
    <t>nodeCount</t>
    <phoneticPr fontId="2" type="noConversion"/>
  </si>
  <si>
    <t>tx-&gt;coin</t>
    <phoneticPr fontId="2" type="noConversion"/>
  </si>
  <si>
    <t>coin-&gt;tx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</si>
</sst>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NumberFormat="1" applyFont="1">
      <alignment vertical="center"/>
    </xf>
    <xf numFmtId="0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14BB-72E0-4BCC-9B97-07172A9A6DDF}">
  <dimension ref="A1:N16"/>
  <sheetViews>
    <sheetView tabSelected="1" workbookViewId="0">
      <selection activeCell="D22" sqref="D22"/>
    </sheetView>
  </sheetViews>
  <sheetFormatPr defaultRowHeight="13.8" x14ac:dyDescent="0.25"/>
  <cols>
    <col min="1" max="1" width="9.5546875" style="5" bestFit="1" customWidth="1"/>
    <col min="2" max="2" width="12.44140625" style="7" bestFit="1" customWidth="1"/>
    <col min="3" max="3" width="20.44140625" style="5" bestFit="1" customWidth="1"/>
    <col min="4" max="4" width="17.44140625" style="5" bestFit="1" customWidth="1"/>
    <col min="5" max="5" width="52.88671875" style="5" bestFit="1" customWidth="1"/>
    <col min="6" max="6" width="23" style="5" bestFit="1" customWidth="1"/>
    <col min="7" max="7" width="14.21875" style="5" bestFit="1" customWidth="1"/>
    <col min="8" max="8" width="10.6640625" style="5" bestFit="1" customWidth="1"/>
    <col min="9" max="9" width="9.21875" style="5" bestFit="1" customWidth="1"/>
    <col min="10" max="10" width="11.33203125" style="5" bestFit="1" customWidth="1"/>
    <col min="11" max="11" width="12.77734375" style="5" bestFit="1" customWidth="1"/>
    <col min="12" max="12" width="10.5546875" style="5" bestFit="1" customWidth="1"/>
    <col min="13" max="13" width="9.5546875" style="5" bestFit="1" customWidth="1"/>
    <col min="14" max="14" width="11.109375" style="5" bestFit="1" customWidth="1"/>
    <col min="15" max="16384" width="8.88671875" style="5"/>
  </cols>
  <sheetData>
    <row r="1" spans="1:14" s="4" customFormat="1" x14ac:dyDescent="0.25">
      <c r="A1" s="2" t="s">
        <v>25</v>
      </c>
      <c r="B1" s="6" t="s">
        <v>27</v>
      </c>
      <c r="C1" s="2" t="s">
        <v>0</v>
      </c>
      <c r="D1" s="2" t="s">
        <v>1</v>
      </c>
      <c r="E1" s="4" t="s">
        <v>24</v>
      </c>
      <c r="F1" s="4" t="s">
        <v>28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29</v>
      </c>
      <c r="L1" s="4" t="s">
        <v>35</v>
      </c>
      <c r="M1" s="4" t="s">
        <v>36</v>
      </c>
      <c r="N1" s="4" t="s">
        <v>30</v>
      </c>
    </row>
    <row r="2" spans="1:14" x14ac:dyDescent="0.25">
      <c r="A2" s="1">
        <v>86931</v>
      </c>
      <c r="B2" s="7">
        <v>586</v>
      </c>
      <c r="C2" s="3" t="s">
        <v>18</v>
      </c>
      <c r="D2" s="3" t="s">
        <v>19</v>
      </c>
      <c r="E2" s="5" t="s">
        <v>26</v>
      </c>
      <c r="F2" s="5">
        <v>15871750</v>
      </c>
      <c r="G2" s="5">
        <v>118245</v>
      </c>
      <c r="H2" s="5">
        <v>1246075</v>
      </c>
      <c r="I2" s="5">
        <v>338633</v>
      </c>
      <c r="J2" s="5">
        <f>SUM(G2:I2)</f>
        <v>1702953</v>
      </c>
      <c r="K2" s="5">
        <v>15871750</v>
      </c>
      <c r="L2" s="5">
        <v>15871750</v>
      </c>
      <c r="M2" s="5">
        <v>7734003</v>
      </c>
      <c r="N2" s="5">
        <f>SUM(K2:M2)</f>
        <v>39477503</v>
      </c>
    </row>
    <row r="3" spans="1:14" x14ac:dyDescent="0.25">
      <c r="A3" s="1">
        <v>768459</v>
      </c>
      <c r="B3" s="7">
        <v>116</v>
      </c>
      <c r="C3" s="1" t="s">
        <v>2</v>
      </c>
      <c r="D3" s="1" t="s">
        <v>2</v>
      </c>
      <c r="F3" s="5">
        <v>222168</v>
      </c>
      <c r="G3" s="5">
        <v>34393</v>
      </c>
      <c r="H3" s="5">
        <v>136444</v>
      </c>
      <c r="I3" s="5">
        <v>74984</v>
      </c>
      <c r="J3" s="5">
        <f t="shared" ref="J3:J16" si="0">SUM(G3:I3)</f>
        <v>245821</v>
      </c>
      <c r="K3" s="5">
        <v>222168</v>
      </c>
      <c r="L3" s="5">
        <v>222168</v>
      </c>
      <c r="M3" s="5">
        <v>160670</v>
      </c>
      <c r="N3" s="5">
        <f t="shared" ref="N3:N14" si="1">SUM(K3:M3)</f>
        <v>605006</v>
      </c>
    </row>
    <row r="4" spans="1:14" x14ac:dyDescent="0.25">
      <c r="A4" s="1">
        <v>1282973</v>
      </c>
      <c r="B4" s="7">
        <v>1632</v>
      </c>
      <c r="C4" s="1" t="s">
        <v>22</v>
      </c>
      <c r="D4" s="1" t="s">
        <v>22</v>
      </c>
      <c r="F4" s="5">
        <v>20278659</v>
      </c>
      <c r="G4" s="5">
        <v>127338</v>
      </c>
      <c r="H4" s="5">
        <v>1216663</v>
      </c>
      <c r="I4" s="5">
        <v>399249</v>
      </c>
      <c r="J4" s="5">
        <f t="shared" si="0"/>
        <v>1743250</v>
      </c>
      <c r="K4" s="5">
        <v>20278659</v>
      </c>
      <c r="L4" s="5">
        <v>20278659</v>
      </c>
      <c r="M4" s="5">
        <v>15519520</v>
      </c>
      <c r="N4" s="5">
        <f t="shared" si="1"/>
        <v>56076838</v>
      </c>
    </row>
    <row r="5" spans="1:14" x14ac:dyDescent="0.25">
      <c r="A5" s="1">
        <v>1816166</v>
      </c>
      <c r="B5" s="7">
        <v>188</v>
      </c>
      <c r="C5" s="1" t="s">
        <v>4</v>
      </c>
      <c r="D5" s="1" t="s">
        <v>4</v>
      </c>
      <c r="F5" s="5">
        <v>338074</v>
      </c>
      <c r="G5" s="5">
        <v>7637</v>
      </c>
      <c r="H5" s="5">
        <v>175903</v>
      </c>
      <c r="I5" s="5">
        <v>56301</v>
      </c>
      <c r="J5" s="5">
        <f t="shared" si="0"/>
        <v>239841</v>
      </c>
      <c r="K5" s="5">
        <v>338074</v>
      </c>
      <c r="L5" s="5">
        <v>338074</v>
      </c>
      <c r="M5" s="5">
        <v>219093</v>
      </c>
      <c r="N5" s="5">
        <f t="shared" si="1"/>
        <v>895241</v>
      </c>
    </row>
    <row r="6" spans="1:14" x14ac:dyDescent="0.25">
      <c r="A6" s="1">
        <v>2564294</v>
      </c>
      <c r="B6" s="7">
        <v>357</v>
      </c>
      <c r="C6" s="1" t="s">
        <v>5</v>
      </c>
      <c r="D6" s="1" t="s">
        <v>5</v>
      </c>
      <c r="F6" s="5">
        <v>550942</v>
      </c>
      <c r="G6" s="5">
        <v>22487</v>
      </c>
      <c r="H6" s="5">
        <v>189534</v>
      </c>
      <c r="I6" s="5">
        <v>98186</v>
      </c>
      <c r="J6" s="5">
        <f t="shared" si="0"/>
        <v>310207</v>
      </c>
      <c r="K6" s="5">
        <v>550942</v>
      </c>
      <c r="L6" s="5">
        <v>550942</v>
      </c>
      <c r="M6" s="5">
        <v>422132</v>
      </c>
      <c r="N6" s="5">
        <f t="shared" si="1"/>
        <v>1524016</v>
      </c>
    </row>
    <row r="7" spans="1:14" x14ac:dyDescent="0.25">
      <c r="A7" s="1">
        <v>2984115</v>
      </c>
      <c r="B7" s="7">
        <v>1260</v>
      </c>
      <c r="C7" s="3" t="s">
        <v>10</v>
      </c>
      <c r="D7" s="3" t="s">
        <v>11</v>
      </c>
      <c r="F7" s="5">
        <v>3587675</v>
      </c>
      <c r="G7" s="5">
        <v>105396</v>
      </c>
      <c r="H7" s="5">
        <v>991615</v>
      </c>
      <c r="I7" s="5">
        <v>393851</v>
      </c>
      <c r="J7" s="5">
        <f t="shared" si="0"/>
        <v>1490862</v>
      </c>
      <c r="K7" s="5">
        <v>3587675</v>
      </c>
      <c r="L7" s="5">
        <v>3587675</v>
      </c>
      <c r="M7" s="5">
        <v>2236567</v>
      </c>
      <c r="N7" s="5">
        <f t="shared" si="1"/>
        <v>9411917</v>
      </c>
    </row>
    <row r="8" spans="1:14" x14ac:dyDescent="0.25">
      <c r="A8" s="1">
        <v>6438509</v>
      </c>
      <c r="B8" s="7">
        <v>1240</v>
      </c>
      <c r="C8" s="1" t="s">
        <v>16</v>
      </c>
      <c r="D8" s="1" t="s">
        <v>17</v>
      </c>
      <c r="F8" s="5">
        <v>8374738</v>
      </c>
      <c r="G8" s="5">
        <v>71629</v>
      </c>
      <c r="H8" s="5">
        <v>808770</v>
      </c>
      <c r="I8" s="5">
        <v>281051</v>
      </c>
      <c r="J8" s="5">
        <f t="shared" si="0"/>
        <v>1161450</v>
      </c>
      <c r="K8" s="5">
        <v>8374738</v>
      </c>
      <c r="L8" s="5">
        <v>8374738</v>
      </c>
      <c r="M8" s="5">
        <v>4209130</v>
      </c>
      <c r="N8" s="5">
        <f t="shared" si="1"/>
        <v>20958606</v>
      </c>
    </row>
    <row r="9" spans="1:14" x14ac:dyDescent="0.25">
      <c r="A9" s="1">
        <v>6995262</v>
      </c>
      <c r="B9" s="7">
        <v>486</v>
      </c>
      <c r="C9" s="1" t="s">
        <v>12</v>
      </c>
      <c r="D9" s="1" t="s">
        <v>13</v>
      </c>
      <c r="F9" s="5">
        <v>1749368</v>
      </c>
      <c r="G9" s="5">
        <v>50281</v>
      </c>
      <c r="H9" s="5">
        <v>599651</v>
      </c>
      <c r="I9" s="5">
        <v>213779</v>
      </c>
      <c r="J9" s="5">
        <f t="shared" si="0"/>
        <v>863711</v>
      </c>
      <c r="K9" s="5">
        <v>1749368</v>
      </c>
      <c r="L9" s="5">
        <v>1749368</v>
      </c>
      <c r="M9" s="5">
        <v>942976</v>
      </c>
      <c r="N9" s="5">
        <f t="shared" si="1"/>
        <v>4441712</v>
      </c>
    </row>
    <row r="10" spans="1:14" x14ac:dyDescent="0.25">
      <c r="A10" s="1">
        <v>7123877</v>
      </c>
      <c r="B10" s="7">
        <v>3146</v>
      </c>
      <c r="C10" s="1" t="s">
        <v>14</v>
      </c>
      <c r="D10" s="1" t="s">
        <v>15</v>
      </c>
      <c r="F10" s="5">
        <v>15030806</v>
      </c>
      <c r="G10" s="5">
        <v>167476</v>
      </c>
      <c r="H10" s="5">
        <v>1342584</v>
      </c>
      <c r="I10" s="5">
        <v>520626</v>
      </c>
      <c r="J10" s="5">
        <f t="shared" si="0"/>
        <v>2030686</v>
      </c>
      <c r="K10" s="5">
        <v>15030806</v>
      </c>
      <c r="L10" s="5">
        <v>15030806</v>
      </c>
      <c r="M10" s="5">
        <v>7703445</v>
      </c>
      <c r="N10" s="5">
        <f t="shared" si="1"/>
        <v>37765057</v>
      </c>
    </row>
    <row r="11" spans="1:14" x14ac:dyDescent="0.25">
      <c r="A11" s="1">
        <v>8902214</v>
      </c>
      <c r="B11" s="7">
        <v>805</v>
      </c>
      <c r="C11" s="1" t="s">
        <v>23</v>
      </c>
      <c r="D11" s="1" t="s">
        <v>23</v>
      </c>
      <c r="F11" s="5">
        <v>11314913</v>
      </c>
      <c r="G11" s="5">
        <v>34101</v>
      </c>
      <c r="H11" s="5">
        <v>551083</v>
      </c>
      <c r="I11" s="5">
        <v>157342</v>
      </c>
      <c r="J11" s="5">
        <f t="shared" si="0"/>
        <v>742526</v>
      </c>
      <c r="K11" s="5">
        <v>11314913</v>
      </c>
      <c r="L11" s="5">
        <v>11314913</v>
      </c>
      <c r="M11" s="5">
        <v>5945840</v>
      </c>
      <c r="N11" s="5">
        <f t="shared" si="1"/>
        <v>28575666</v>
      </c>
    </row>
    <row r="12" spans="1:14" x14ac:dyDescent="0.25">
      <c r="A12" s="1">
        <v>9155183</v>
      </c>
      <c r="B12" s="7">
        <v>2692</v>
      </c>
      <c r="C12" s="1" t="s">
        <v>20</v>
      </c>
      <c r="D12" s="1" t="s">
        <v>21</v>
      </c>
      <c r="F12" s="5">
        <v>20102290</v>
      </c>
      <c r="G12" s="5">
        <v>174154</v>
      </c>
      <c r="H12" s="5">
        <v>1365858</v>
      </c>
      <c r="I12" s="5">
        <v>460840</v>
      </c>
      <c r="J12" s="5">
        <f t="shared" si="0"/>
        <v>2000852</v>
      </c>
      <c r="K12" s="5">
        <v>20102290</v>
      </c>
      <c r="L12" s="5">
        <v>20102290</v>
      </c>
      <c r="M12" s="5">
        <v>10803064</v>
      </c>
      <c r="N12" s="5">
        <f t="shared" si="1"/>
        <v>51007644</v>
      </c>
    </row>
    <row r="13" spans="1:14" x14ac:dyDescent="0.25">
      <c r="A13" s="1">
        <v>9331800</v>
      </c>
      <c r="B13" s="7">
        <v>607</v>
      </c>
      <c r="C13" s="1" t="s">
        <v>6</v>
      </c>
      <c r="D13" s="1" t="s">
        <v>7</v>
      </c>
      <c r="F13" s="5">
        <v>627912</v>
      </c>
      <c r="G13" s="5">
        <v>15853</v>
      </c>
      <c r="H13" s="5">
        <v>85939</v>
      </c>
      <c r="I13" s="5">
        <v>92232</v>
      </c>
      <c r="J13" s="5">
        <f t="shared" si="0"/>
        <v>194024</v>
      </c>
      <c r="K13" s="5">
        <v>627912</v>
      </c>
      <c r="L13" s="5">
        <v>627912</v>
      </c>
      <c r="M13" s="5">
        <v>575717</v>
      </c>
      <c r="N13" s="5">
        <f t="shared" si="1"/>
        <v>1831541</v>
      </c>
    </row>
    <row r="14" spans="1:14" x14ac:dyDescent="0.25">
      <c r="A14" s="1">
        <v>10300196</v>
      </c>
      <c r="B14" s="7">
        <v>1087</v>
      </c>
      <c r="C14" s="1" t="s">
        <v>3</v>
      </c>
      <c r="D14" s="1" t="s">
        <v>3</v>
      </c>
      <c r="F14" s="5">
        <v>1172776</v>
      </c>
      <c r="G14" s="5">
        <v>43648</v>
      </c>
      <c r="H14" s="5">
        <v>375111</v>
      </c>
      <c r="I14" s="5">
        <v>163020</v>
      </c>
      <c r="J14" s="5">
        <f t="shared" si="0"/>
        <v>581779</v>
      </c>
      <c r="K14" s="5">
        <v>1172776</v>
      </c>
      <c r="L14" s="5">
        <v>1172776</v>
      </c>
      <c r="M14" s="5">
        <v>927120</v>
      </c>
      <c r="N14" s="5">
        <f t="shared" si="1"/>
        <v>3272672</v>
      </c>
    </row>
    <row r="15" spans="1:14" x14ac:dyDescent="0.25">
      <c r="A15" s="1">
        <v>10361986</v>
      </c>
      <c r="B15" s="7">
        <v>1016</v>
      </c>
      <c r="C15" s="1" t="s">
        <v>8</v>
      </c>
      <c r="D15" s="1" t="s">
        <v>9</v>
      </c>
      <c r="F15" s="5">
        <v>2148800</v>
      </c>
      <c r="G15" s="5">
        <v>29225</v>
      </c>
      <c r="H15" s="5">
        <v>266448</v>
      </c>
      <c r="I15" s="5">
        <v>123460</v>
      </c>
      <c r="J15" s="5">
        <f t="shared" si="0"/>
        <v>419133</v>
      </c>
      <c r="K15" s="5">
        <v>2148800</v>
      </c>
      <c r="L15" s="5">
        <v>2148800</v>
      </c>
      <c r="M15" s="5">
        <v>2021667</v>
      </c>
      <c r="N15" s="5">
        <f>SUM(K15:M15)</f>
        <v>6319267</v>
      </c>
    </row>
    <row r="16" spans="1:14" x14ac:dyDescent="0.25">
      <c r="B16" s="7">
        <f>SUM(B2:B15)</f>
        <v>15218</v>
      </c>
      <c r="F16" s="5">
        <f t="shared" ref="F16:I16" si="2">SUM(F2:F15)</f>
        <v>101370871</v>
      </c>
      <c r="G16" s="5">
        <f t="shared" si="2"/>
        <v>1001863</v>
      </c>
      <c r="H16" s="5">
        <f t="shared" si="2"/>
        <v>9351678</v>
      </c>
      <c r="I16" s="5">
        <f t="shared" si="2"/>
        <v>3373554</v>
      </c>
      <c r="J16" s="5">
        <f t="shared" si="0"/>
        <v>13727095</v>
      </c>
      <c r="K16" s="5">
        <f t="shared" ref="K16:L16" si="3">SUM(K2:K15)</f>
        <v>101370871</v>
      </c>
      <c r="L16" s="5">
        <f t="shared" si="3"/>
        <v>101370871</v>
      </c>
      <c r="M16" s="5">
        <f>SUM(M2:M15)</f>
        <v>59420944</v>
      </c>
      <c r="N16" s="5">
        <f>SUM(K16:M16)</f>
        <v>262162686</v>
      </c>
    </row>
  </sheetData>
  <sortState xmlns:xlrd2="http://schemas.microsoft.com/office/spreadsheetml/2017/richdata2" ref="A2:E16">
    <sortCondition ref="A1:A16"/>
  </sortState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</dc:creator>
  <cp:lastModifiedBy>wy</cp:lastModifiedBy>
  <dcterms:created xsi:type="dcterms:W3CDTF">2025-01-26T07:51:02Z</dcterms:created>
  <dcterms:modified xsi:type="dcterms:W3CDTF">2025-01-27T12:44:34Z</dcterms:modified>
</cp:coreProperties>
</file>